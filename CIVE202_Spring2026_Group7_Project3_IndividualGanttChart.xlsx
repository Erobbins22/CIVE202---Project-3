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codeName="ThisWorkbook"/>
  <mc:AlternateContent xmlns:mc="http://schemas.openxmlformats.org/markup-compatibility/2006">
    <mc:Choice Requires="x15">
      <x15ac:absPath xmlns:x15ac="http://schemas.microsoft.com/office/spreadsheetml/2010/11/ac" url="https://uofnebraska-my.sharepoint.com/personal/88941357_nebraska_edu/Documents/CIVE 202/CIVE 202 Project 3/"/>
    </mc:Choice>
  </mc:AlternateContent>
  <xr:revisionPtr revIDLastSave="31" documentId="8_{459C3C72-623E-43CE-93A3-7F11538CDD60}" xr6:coauthVersionLast="47" xr6:coauthVersionMax="47" xr10:uidLastSave="{47460C33-DD68-4C14-9CE1-C2D4B5DCEC2B}"/>
  <bookViews>
    <workbookView xWindow="-108" yWindow="-108" windowWidth="23256" windowHeight="12456"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 i="11" l="1"/>
  <c r="E19" i="11"/>
  <c r="E18" i="11"/>
  <c r="E17" i="11"/>
  <c r="E16" i="11"/>
  <c r="E15" i="11"/>
  <c r="E23" i="11"/>
  <c r="E31" i="11"/>
  <c r="E30" i="11"/>
  <c r="E29" i="11"/>
  <c r="E28" i="11"/>
  <c r="E27" i="11"/>
  <c r="E22" i="11"/>
  <c r="E21" i="11"/>
  <c r="E12" i="11"/>
  <c r="E11" i="11"/>
  <c r="E10" i="11"/>
  <c r="H7" i="11"/>
  <c r="I5" i="11" l="1"/>
  <c r="H33" i="11"/>
  <c r="H32" i="11"/>
  <c r="H26" i="11"/>
  <c r="H20" i="11"/>
  <c r="H14" i="11"/>
  <c r="H8" i="11"/>
  <c r="H22" i="11" l="1"/>
  <c r="H13" i="11"/>
  <c r="H21" i="11"/>
  <c r="H9" i="11"/>
  <c r="I6" i="11"/>
  <c r="H31" i="11" l="1"/>
  <c r="H30" i="11"/>
  <c r="H27" i="11"/>
  <c r="H25" i="11"/>
  <c r="H10" i="11"/>
  <c r="H23" i="11"/>
  <c r="H15" i="11"/>
  <c r="J5" i="11"/>
  <c r="K5" i="11" s="1"/>
  <c r="L5" i="11" s="1"/>
  <c r="M5" i="11" s="1"/>
  <c r="N5" i="11" s="1"/>
  <c r="O5" i="11" s="1"/>
  <c r="P5" i="11" s="1"/>
  <c r="I4" i="11"/>
  <c r="H28" i="11" l="1"/>
  <c r="H29" i="11"/>
  <c r="H24" i="11"/>
  <c r="H16" i="11"/>
  <c r="H11" i="11"/>
  <c r="H12" i="11"/>
  <c r="P4" i="11"/>
  <c r="Q5" i="11"/>
  <c r="R5" i="11" s="1"/>
  <c r="S5" i="11" s="1"/>
  <c r="T5" i="11" s="1"/>
  <c r="U5" i="11" s="1"/>
  <c r="V5" i="11" s="1"/>
  <c r="W5" i="11" s="1"/>
  <c r="J6" i="11"/>
  <c r="H19" i="11" l="1"/>
  <c r="H18" i="11"/>
  <c r="H17" i="11"/>
  <c r="W4" i="11"/>
  <c r="X5" i="11"/>
  <c r="K6" i="11"/>
  <c r="L6" i="11" l="1"/>
  <c r="M6" i="11" l="1"/>
  <c r="N6" i="11" l="1"/>
  <c r="O6" i="11" l="1"/>
  <c r="P6" i="11" l="1"/>
  <c r="Q6" i="11"/>
  <c r="R6" i="11" l="1"/>
  <c r="S6" i="11" l="1"/>
  <c r="T6" i="11" l="1"/>
  <c r="U6" i="11" l="1"/>
  <c r="V6" i="11" l="1"/>
  <c r="W6" i="11" l="1"/>
  <c r="X6" i="11" l="1"/>
</calcChain>
</file>

<file path=xl/sharedStrings.xml><?xml version="1.0" encoding="utf-8"?>
<sst xmlns="http://schemas.openxmlformats.org/spreadsheetml/2006/main" count="67" uniqueCount="53">
  <si>
    <t>Project 3</t>
  </si>
  <si>
    <t>Project start:</t>
  </si>
  <si>
    <t>CIVE 202</t>
  </si>
  <si>
    <t>Display week:</t>
  </si>
  <si>
    <t>TASK</t>
  </si>
  <si>
    <t>ASSIGNED TO</t>
  </si>
  <si>
    <t>PROGRESS</t>
  </si>
  <si>
    <t>START</t>
  </si>
  <si>
    <t>END</t>
  </si>
  <si>
    <t xml:space="preserve">Do not delete this row. This row is hidden to preserve a formula that is used to highlight the current day within the project schedule. </t>
  </si>
  <si>
    <t>Project Outline</t>
  </si>
  <si>
    <t>Project Summary</t>
  </si>
  <si>
    <t>Madalynne George</t>
  </si>
  <si>
    <t>Project Goals</t>
  </si>
  <si>
    <t>Bell Eurek</t>
  </si>
  <si>
    <t>Project Tasks</t>
  </si>
  <si>
    <t>Emma Robbins</t>
  </si>
  <si>
    <t>Project Deliverables</t>
  </si>
  <si>
    <t>Graphical Analysis</t>
  </si>
  <si>
    <t>Bar Chart</t>
  </si>
  <si>
    <t>Gavin Rothmeyer</t>
  </si>
  <si>
    <t>Histogram</t>
  </si>
  <si>
    <t>Boxplot</t>
  </si>
  <si>
    <t>Time-series Plot 1</t>
  </si>
  <si>
    <t>Time-series Plot 2</t>
  </si>
  <si>
    <t>Documentation and Simulation</t>
  </si>
  <si>
    <t>Simulation Study</t>
  </si>
  <si>
    <t>Timesheet</t>
  </si>
  <si>
    <t>Annotated Code Document</t>
  </si>
  <si>
    <t>Github Repository</t>
  </si>
  <si>
    <t>Scope of Work</t>
  </si>
  <si>
    <t>Written Report</t>
  </si>
  <si>
    <t>Introduction (SOW)</t>
  </si>
  <si>
    <t>cx</t>
  </si>
  <si>
    <t>Results</t>
  </si>
  <si>
    <t>Discussion</t>
  </si>
  <si>
    <t>References</t>
  </si>
  <si>
    <t>All</t>
  </si>
  <si>
    <t>Insert new rows ABOVE this one</t>
  </si>
  <si>
    <t>SIMPLE GANTT CHART by Vertex42.com</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</si>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</sst>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1">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17">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2" borderId="20"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167"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4" fontId="19"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4"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28"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29" fillId="0" borderId="0" xfId="0" applyFont="1" applyAlignment="1">
      <alignment horizontal="left" vertical="top" wrapText="1" indent="1"/>
    </xf>
    <xf numFmtId="0" fontId="0" fillId="0" borderId="0" xfId="0" applyAlignment="1">
      <alignment horizontal="left" vertical="top" wrapText="1" indent="1"/>
    </xf>
    <xf numFmtId="0" fontId="30" fillId="0" borderId="0" xfId="1" applyFont="1" applyAlignment="1" applyProtection="1">
      <alignment horizontal="left" vertical="top" indent="1"/>
    </xf>
    <xf numFmtId="0" fontId="1" fillId="0" borderId="0" xfId="0" applyFont="1" applyAlignment="1">
      <alignment horizontal="left" vertical="top" indent="1"/>
    </xf>
    <xf numFmtId="0" fontId="0" fillId="0" borderId="0" xfId="0" applyAlignment="1">
      <alignment vertical="center"/>
    </xf>
    <xf numFmtId="0" fontId="0" fillId="0" borderId="4" xfId="0" applyBorder="1" applyAlignment="1">
      <alignment vertical="center"/>
    </xf>
    <xf numFmtId="0" fontId="13" fillId="0" borderId="0" xfId="3" applyAlignment="1">
      <alignment wrapText="1"/>
    </xf>
    <xf numFmtId="0" fontId="20" fillId="11" borderId="16" xfId="0" applyFont="1" applyFill="1" applyBorder="1" applyAlignment="1">
      <alignment horizontal="left" vertical="center" indent="1"/>
    </xf>
    <xf numFmtId="0" fontId="20" fillId="11" borderId="16" xfId="0" applyFont="1" applyFill="1" applyBorder="1" applyAlignment="1">
      <alignment vertical="center"/>
    </xf>
    <xf numFmtId="0" fontId="20" fillId="11" borderId="16" xfId="0" applyFont="1" applyFill="1" applyBorder="1" applyAlignment="1">
      <alignment horizontal="center" vertical="center"/>
    </xf>
    <xf numFmtId="0" fontId="27" fillId="0" borderId="0" xfId="0" applyFont="1" applyAlignment="1">
      <alignment horizontal="left"/>
    </xf>
    <xf numFmtId="165" fontId="27" fillId="0" borderId="0" xfId="9" applyFont="1" applyBorder="1" applyAlignment="1">
      <alignment horizontal="left"/>
    </xf>
    <xf numFmtId="0" fontId="26" fillId="0" borderId="0" xfId="8" applyFont="1" applyAlignment="1">
      <alignment horizontal="left"/>
    </xf>
    <xf numFmtId="166" fontId="19" fillId="2" borderId="13"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tabSelected="1" showRuler="0" zoomScaleNormal="100" zoomScalePageLayoutView="70" workbookViewId="0">
      <selection activeCell="B28" sqref="B28"/>
    </sheetView>
  </sheetViews>
  <sheetFormatPr defaultColWidth="8.75" defaultRowHeight="30" customHeight="1"/>
  <cols>
    <col min="1" max="1" width="2.75" style="13" customWidth="1"/>
    <col min="2" max="2" width="38.25" customWidth="1"/>
    <col min="3" max="3" width="16.75" customWidth="1"/>
    <col min="4" max="4" width="10.75" customWidth="1"/>
    <col min="5" max="5" width="10.75" style="2" customWidth="1"/>
    <col min="6" max="6" width="10.75" customWidth="1"/>
    <col min="7" max="7" width="2.75" customWidth="1"/>
    <col min="8" max="8" width="6" hidden="1" customWidth="1"/>
    <col min="9" max="65" width="2.75" customWidth="1"/>
  </cols>
  <sheetData>
    <row r="1" spans="1:64" ht="90" customHeight="1">
      <c r="A1" s="14"/>
      <c r="B1" s="98" t="s">
        <v>0</v>
      </c>
      <c r="C1" s="18"/>
      <c r="D1" s="19"/>
      <c r="E1" s="20"/>
      <c r="F1" s="21"/>
      <c r="H1" s="1"/>
      <c r="I1" s="114" t="s">
        <v>1</v>
      </c>
      <c r="J1" s="114"/>
      <c r="K1" s="114"/>
      <c r="L1" s="114"/>
      <c r="M1" s="114"/>
      <c r="N1" s="114"/>
      <c r="O1" s="114"/>
      <c r="P1" s="24"/>
      <c r="Q1" s="113">
        <v>46080</v>
      </c>
      <c r="R1" s="113"/>
      <c r="S1" s="113"/>
      <c r="T1" s="113"/>
      <c r="U1" s="113"/>
      <c r="V1" s="113"/>
      <c r="W1" s="113"/>
      <c r="X1" s="113"/>
      <c r="Y1" s="113"/>
      <c r="Z1" s="113"/>
    </row>
    <row r="2" spans="1:64" ht="30" customHeight="1">
      <c r="B2" s="96" t="s">
        <v>2</v>
      </c>
      <c r="C2" s="97"/>
      <c r="D2" s="22"/>
      <c r="E2" s="23"/>
      <c r="F2" s="22"/>
      <c r="I2" s="114" t="s">
        <v>3</v>
      </c>
      <c r="J2" s="114"/>
      <c r="K2" s="114"/>
      <c r="L2" s="114"/>
      <c r="M2" s="114"/>
      <c r="N2" s="114"/>
      <c r="O2" s="114"/>
      <c r="P2" s="24"/>
      <c r="Q2" s="112">
        <v>1</v>
      </c>
      <c r="R2" s="112"/>
      <c r="S2" s="112"/>
      <c r="T2" s="112"/>
      <c r="U2" s="112"/>
      <c r="V2" s="112"/>
      <c r="W2" s="112"/>
      <c r="X2" s="112"/>
      <c r="Y2" s="112"/>
      <c r="Z2" s="112"/>
    </row>
    <row r="3" spans="1:64" s="26" customFormat="1" ht="30" customHeight="1">
      <c r="A3" s="13"/>
      <c r="B3" s="25"/>
      <c r="D3" s="27"/>
      <c r="E3" s="28"/>
    </row>
    <row r="4" spans="1:64" s="26" customFormat="1" ht="30" customHeight="1">
      <c r="A4" s="14"/>
      <c r="B4" s="29"/>
      <c r="E4" s="30"/>
      <c r="I4" s="116">
        <f>I5</f>
        <v>46076</v>
      </c>
      <c r="J4" s="116"/>
      <c r="K4" s="116"/>
      <c r="L4" s="116"/>
      <c r="M4" s="116"/>
      <c r="N4" s="116"/>
      <c r="O4" s="116"/>
      <c r="P4" s="115">
        <f>P5</f>
        <v>46083</v>
      </c>
      <c r="Q4" s="115"/>
      <c r="R4" s="115"/>
      <c r="S4" s="115"/>
      <c r="T4" s="115"/>
      <c r="U4" s="115"/>
      <c r="V4" s="115"/>
      <c r="W4" s="115">
        <f>W5</f>
        <v>46090</v>
      </c>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row>
    <row r="5" spans="1:64" s="26" customFormat="1" ht="15" customHeight="1">
      <c r="A5" s="108"/>
      <c r="B5" s="109" t="s">
        <v>4</v>
      </c>
      <c r="C5" s="110" t="s">
        <v>5</v>
      </c>
      <c r="D5" s="111" t="s">
        <v>6</v>
      </c>
      <c r="E5" s="111" t="s">
        <v>7</v>
      </c>
      <c r="F5" s="111" t="s">
        <v>8</v>
      </c>
      <c r="I5" s="31">
        <f>Project_Start-WEEKDAY(Project_Start,1)+2+7*(Display_Week-1)</f>
        <v>46076</v>
      </c>
      <c r="J5" s="31">
        <f>I5+1</f>
        <v>46077</v>
      </c>
      <c r="K5" s="31">
        <f t="shared" ref="K5:V5" si="0">J5+1</f>
        <v>46078</v>
      </c>
      <c r="L5" s="31">
        <f t="shared" si="0"/>
        <v>46079</v>
      </c>
      <c r="M5" s="31">
        <f t="shared" si="0"/>
        <v>46080</v>
      </c>
      <c r="N5" s="31">
        <f t="shared" si="0"/>
        <v>46081</v>
      </c>
      <c r="O5" s="32">
        <f t="shared" si="0"/>
        <v>46082</v>
      </c>
      <c r="P5" s="33">
        <f>O5+1</f>
        <v>46083</v>
      </c>
      <c r="Q5" s="31">
        <f>P5+1</f>
        <v>46084</v>
      </c>
      <c r="R5" s="31">
        <f t="shared" si="0"/>
        <v>46085</v>
      </c>
      <c r="S5" s="31">
        <f t="shared" si="0"/>
        <v>46086</v>
      </c>
      <c r="T5" s="31">
        <f t="shared" si="0"/>
        <v>46087</v>
      </c>
      <c r="U5" s="31">
        <f t="shared" si="0"/>
        <v>46088</v>
      </c>
      <c r="V5" s="32">
        <f t="shared" si="0"/>
        <v>46089</v>
      </c>
      <c r="W5" s="33">
        <f>V5+1</f>
        <v>46090</v>
      </c>
      <c r="X5" s="31">
        <f>W5+1</f>
        <v>46091</v>
      </c>
      <c r="Y5" s="31"/>
      <c r="Z5" s="31"/>
      <c r="AA5" s="31"/>
      <c r="AB5" s="31"/>
      <c r="AC5" s="32"/>
      <c r="AD5" s="33"/>
      <c r="AE5" s="31"/>
      <c r="AF5" s="31"/>
      <c r="AG5" s="31"/>
      <c r="AH5" s="31"/>
      <c r="AI5" s="31"/>
      <c r="AJ5" s="32"/>
      <c r="AK5" s="33"/>
      <c r="AL5" s="31"/>
      <c r="AM5" s="31"/>
      <c r="AN5" s="31"/>
      <c r="AO5" s="31"/>
      <c r="AP5" s="31"/>
      <c r="AQ5" s="32"/>
      <c r="AR5" s="33"/>
      <c r="AS5" s="31"/>
      <c r="AT5" s="31"/>
      <c r="AU5" s="31"/>
      <c r="AV5" s="31"/>
      <c r="AW5" s="31"/>
      <c r="AX5" s="32"/>
      <c r="AY5" s="33"/>
      <c r="AZ5" s="31"/>
      <c r="BA5" s="31"/>
      <c r="BB5" s="31"/>
      <c r="BC5" s="31"/>
      <c r="BD5" s="31"/>
      <c r="BE5" s="32"/>
      <c r="BF5" s="33"/>
      <c r="BG5" s="31"/>
      <c r="BH5" s="31"/>
      <c r="BI5" s="31"/>
      <c r="BJ5" s="31"/>
      <c r="BK5" s="31"/>
      <c r="BL5" s="31"/>
    </row>
    <row r="6" spans="1:64" s="26" customFormat="1" ht="15" customHeight="1" thickBot="1">
      <c r="A6" s="108"/>
      <c r="B6" s="109"/>
      <c r="C6" s="110"/>
      <c r="D6" s="111"/>
      <c r="E6" s="111"/>
      <c r="F6" s="111"/>
      <c r="I6" s="34" t="str">
        <f t="shared" ref="I6:X6" si="1">LEFT(TEXT(I5,"ddd"),1)</f>
        <v>M</v>
      </c>
      <c r="J6" s="35" t="str">
        <f t="shared" si="1"/>
        <v>T</v>
      </c>
      <c r="K6" s="35" t="str">
        <f t="shared" si="1"/>
        <v>W</v>
      </c>
      <c r="L6" s="35" t="str">
        <f t="shared" si="1"/>
        <v>T</v>
      </c>
      <c r="M6" s="35" t="str">
        <f t="shared" si="1"/>
        <v>F</v>
      </c>
      <c r="N6" s="35" t="str">
        <f t="shared" si="1"/>
        <v>S</v>
      </c>
      <c r="O6" s="35" t="str">
        <f t="shared" si="1"/>
        <v>S</v>
      </c>
      <c r="P6" s="35" t="str">
        <f t="shared" si="1"/>
        <v>M</v>
      </c>
      <c r="Q6" s="35" t="str">
        <f t="shared" si="1"/>
        <v>T</v>
      </c>
      <c r="R6" s="35" t="str">
        <f t="shared" si="1"/>
        <v>W</v>
      </c>
      <c r="S6" s="35" t="str">
        <f t="shared" si="1"/>
        <v>T</v>
      </c>
      <c r="T6" s="35" t="str">
        <f t="shared" si="1"/>
        <v>F</v>
      </c>
      <c r="U6" s="35" t="str">
        <f t="shared" si="1"/>
        <v>S</v>
      </c>
      <c r="V6" s="35" t="str">
        <f t="shared" si="1"/>
        <v>S</v>
      </c>
      <c r="W6" s="35" t="str">
        <f t="shared" si="1"/>
        <v>M</v>
      </c>
      <c r="X6" s="35" t="str">
        <f t="shared" si="1"/>
        <v>T</v>
      </c>
      <c r="Y6" s="35"/>
      <c r="Z6" s="35"/>
      <c r="AA6" s="35"/>
      <c r="AB6" s="35"/>
      <c r="AC6" s="35"/>
      <c r="AD6" s="35"/>
      <c r="AE6" s="35"/>
      <c r="AF6" s="35"/>
      <c r="AG6" s="35"/>
      <c r="AH6" s="35"/>
      <c r="AI6" s="35"/>
      <c r="AJ6" s="35"/>
      <c r="AK6" s="35"/>
      <c r="AL6" s="35"/>
      <c r="AM6" s="35"/>
      <c r="AN6" s="35"/>
      <c r="AO6" s="35"/>
      <c r="AP6" s="35"/>
      <c r="AQ6" s="35"/>
      <c r="AR6" s="35"/>
      <c r="AS6" s="35"/>
      <c r="AT6" s="35"/>
      <c r="AU6" s="35"/>
      <c r="AV6" s="35"/>
      <c r="AW6" s="35"/>
      <c r="AX6" s="35"/>
      <c r="AY6" s="35"/>
      <c r="AZ6" s="35"/>
      <c r="BA6" s="35"/>
      <c r="BB6" s="35"/>
      <c r="BC6" s="35"/>
      <c r="BD6" s="35"/>
      <c r="BE6" s="35"/>
      <c r="BF6" s="35"/>
      <c r="BG6" s="35"/>
      <c r="BH6" s="35"/>
      <c r="BI6" s="35"/>
      <c r="BJ6" s="35"/>
      <c r="BK6" s="35"/>
      <c r="BL6" s="36"/>
    </row>
    <row r="7" spans="1:64" s="26" customFormat="1" ht="30" hidden="1" customHeight="1" thickBot="1">
      <c r="A7" s="13" t="s">
        <v>9</v>
      </c>
      <c r="B7" s="37"/>
      <c r="C7" s="38"/>
      <c r="D7" s="37"/>
      <c r="E7" s="37"/>
      <c r="F7" s="37"/>
      <c r="H7" s="26" t="str">
        <f ca="1">IF(OR(ISBLANK(task_start),ISBLANK(task_end)),"",task_end-task_start+1)</f>
        <v/>
      </c>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row>
    <row r="8" spans="1:64" s="46" customFormat="1" ht="30" customHeight="1" thickBot="1">
      <c r="A8" s="14"/>
      <c r="B8" s="40" t="s">
        <v>10</v>
      </c>
      <c r="C8" s="41"/>
      <c r="D8" s="42"/>
      <c r="E8" s="43"/>
      <c r="F8" s="44"/>
      <c r="G8" s="17"/>
      <c r="H8" s="5" t="str">
        <f t="shared" ref="H8:H33" ca="1" si="2">IF(OR(ISBLANK(task_start),ISBLANK(task_end)),"",task_end-task_start+1)</f>
        <v/>
      </c>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row>
    <row r="9" spans="1:64" s="46" customFormat="1" ht="30" customHeight="1" thickBot="1">
      <c r="A9" s="14"/>
      <c r="B9" s="47" t="s">
        <v>11</v>
      </c>
      <c r="C9" s="48" t="s">
        <v>12</v>
      </c>
      <c r="D9" s="49">
        <v>0</v>
      </c>
      <c r="E9" s="50">
        <f>Project_Start</f>
        <v>46080</v>
      </c>
      <c r="F9" s="50">
        <v>46087</v>
      </c>
      <c r="G9" s="17"/>
      <c r="H9" s="5">
        <f t="shared" ca="1" si="2"/>
        <v>8</v>
      </c>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row>
    <row r="10" spans="1:64" s="46" customFormat="1" ht="30" customHeight="1" thickBot="1">
      <c r="A10" s="14"/>
      <c r="B10" s="52" t="s">
        <v>13</v>
      </c>
      <c r="C10" s="53" t="s">
        <v>14</v>
      </c>
      <c r="D10" s="54">
        <v>0</v>
      </c>
      <c r="E10" s="55">
        <f>Project_Start</f>
        <v>46080</v>
      </c>
      <c r="F10" s="55">
        <v>46087</v>
      </c>
      <c r="G10" s="17"/>
      <c r="H10" s="5">
        <f t="shared" ca="1" si="2"/>
        <v>8</v>
      </c>
      <c r="I10" s="51"/>
      <c r="J10" s="51"/>
      <c r="K10" s="51"/>
      <c r="L10" s="51"/>
      <c r="M10" s="51"/>
      <c r="N10" s="51"/>
      <c r="O10" s="51"/>
      <c r="P10" s="51"/>
      <c r="Q10" s="51"/>
      <c r="R10" s="51"/>
      <c r="S10" s="51"/>
      <c r="T10" s="51"/>
      <c r="U10" s="56"/>
      <c r="V10" s="56"/>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row>
    <row r="11" spans="1:64" s="46" customFormat="1" ht="30" customHeight="1" thickBot="1">
      <c r="A11" s="13"/>
      <c r="B11" s="52" t="s">
        <v>15</v>
      </c>
      <c r="C11" s="53" t="s">
        <v>16</v>
      </c>
      <c r="D11" s="54">
        <v>0</v>
      </c>
      <c r="E11" s="55">
        <f>Project_Start</f>
        <v>46080</v>
      </c>
      <c r="F11" s="55">
        <v>46087</v>
      </c>
      <c r="G11" s="17"/>
      <c r="H11" s="5">
        <f t="shared" ca="1" si="2"/>
        <v>8</v>
      </c>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1"/>
      <c r="BL11" s="51"/>
    </row>
    <row r="12" spans="1:64" s="46" customFormat="1" ht="30" customHeight="1">
      <c r="A12" s="13"/>
      <c r="B12" s="52" t="s">
        <v>17</v>
      </c>
      <c r="C12" s="53" t="s">
        <v>16</v>
      </c>
      <c r="D12" s="54">
        <v>0</v>
      </c>
      <c r="E12" s="55">
        <f>Project_Start</f>
        <v>46080</v>
      </c>
      <c r="F12" s="55">
        <v>46087</v>
      </c>
      <c r="G12" s="17"/>
      <c r="H12" s="5">
        <f t="shared" ca="1" si="2"/>
        <v>8</v>
      </c>
      <c r="I12" s="51"/>
      <c r="J12" s="51"/>
      <c r="K12" s="51"/>
      <c r="L12" s="51"/>
      <c r="M12" s="51"/>
      <c r="N12" s="51"/>
      <c r="O12" s="51"/>
      <c r="P12" s="51"/>
      <c r="Q12" s="51"/>
      <c r="R12" s="51"/>
      <c r="S12" s="51"/>
      <c r="T12" s="51"/>
      <c r="U12" s="51"/>
      <c r="V12" s="51"/>
      <c r="W12" s="51"/>
      <c r="X12" s="51"/>
      <c r="Y12" s="56"/>
      <c r="Z12" s="51"/>
      <c r="AA12" s="51"/>
      <c r="AB12" s="51"/>
      <c r="AC12" s="51"/>
      <c r="AD12" s="51"/>
      <c r="AE12" s="51"/>
      <c r="AF12" s="51"/>
      <c r="AG12" s="51"/>
      <c r="AH12" s="51"/>
      <c r="AI12" s="51"/>
      <c r="AJ12" s="51"/>
      <c r="AK12" s="51"/>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1"/>
      <c r="BJ12" s="51"/>
      <c r="BK12" s="51"/>
      <c r="BL12" s="51"/>
    </row>
    <row r="13" spans="1:64" s="106" customFormat="1" ht="30" customHeight="1">
      <c r="A13" s="13"/>
      <c r="B13" s="52"/>
      <c r="C13" s="53"/>
      <c r="D13" s="54"/>
      <c r="E13" s="55"/>
      <c r="F13" s="55"/>
      <c r="G13" s="17"/>
      <c r="H13" s="5" t="str">
        <f ca="1">IF(OR(ISBLANK(task_start),ISBLANK(task_end)),"",task_end-task_start+1)</f>
        <v/>
      </c>
      <c r="I13" s="107"/>
      <c r="J13" s="107"/>
      <c r="K13" s="107"/>
      <c r="L13" s="107"/>
      <c r="M13" s="107"/>
      <c r="N13" s="107"/>
      <c r="O13" s="107"/>
      <c r="P13" s="107"/>
      <c r="Q13" s="107"/>
      <c r="R13" s="107"/>
      <c r="S13" s="107"/>
      <c r="T13" s="107"/>
      <c r="U13" s="107"/>
      <c r="V13" s="107"/>
      <c r="W13" s="107"/>
      <c r="X13" s="107"/>
      <c r="Y13" s="107"/>
      <c r="Z13" s="107"/>
      <c r="AA13" s="107"/>
      <c r="AB13" s="107"/>
      <c r="AC13" s="107"/>
      <c r="AD13" s="107"/>
      <c r="AE13" s="107"/>
      <c r="AF13" s="107"/>
      <c r="AG13" s="107"/>
      <c r="AH13" s="107"/>
      <c r="AI13" s="107"/>
      <c r="AJ13" s="107"/>
      <c r="AK13" s="107"/>
      <c r="AL13" s="107"/>
      <c r="AM13" s="107"/>
      <c r="AN13" s="107"/>
      <c r="AO13" s="107"/>
      <c r="AP13" s="107"/>
      <c r="AQ13" s="107"/>
      <c r="AR13" s="107"/>
      <c r="AS13" s="107"/>
      <c r="AT13" s="107"/>
      <c r="AU13" s="107"/>
      <c r="AV13" s="107"/>
      <c r="AW13" s="107"/>
      <c r="AX13" s="107"/>
      <c r="AY13" s="107"/>
      <c r="AZ13" s="107"/>
      <c r="BA13" s="107"/>
      <c r="BB13" s="107"/>
      <c r="BC13" s="107"/>
      <c r="BD13" s="107"/>
      <c r="BE13" s="107"/>
      <c r="BF13" s="107"/>
      <c r="BG13" s="107"/>
      <c r="BH13" s="107"/>
      <c r="BI13" s="107"/>
      <c r="BJ13" s="107"/>
      <c r="BK13" s="107"/>
      <c r="BL13" s="107"/>
    </row>
    <row r="14" spans="1:64" s="46" customFormat="1" ht="30" customHeight="1">
      <c r="A14" s="14"/>
      <c r="B14" s="57" t="s">
        <v>18</v>
      </c>
      <c r="C14" s="58"/>
      <c r="D14" s="59"/>
      <c r="E14" s="60"/>
      <c r="F14" s="61"/>
      <c r="G14" s="17"/>
      <c r="H14" s="5" t="str">
        <f t="shared" ca="1" si="2"/>
        <v/>
      </c>
    </row>
    <row r="15" spans="1:64" s="46" customFormat="1" ht="30" customHeight="1" thickBot="1">
      <c r="A15" s="14"/>
      <c r="B15" s="62" t="s">
        <v>19</v>
      </c>
      <c r="C15" s="63" t="s">
        <v>20</v>
      </c>
      <c r="D15" s="64">
        <v>0</v>
      </c>
      <c r="E15" s="65">
        <f>Project_Start</f>
        <v>46080</v>
      </c>
      <c r="F15" s="65">
        <v>46095</v>
      </c>
      <c r="G15" s="17"/>
      <c r="H15" s="5">
        <f t="shared" ca="1" si="2"/>
        <v>16</v>
      </c>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row>
    <row r="16" spans="1:64" s="46" customFormat="1" ht="30" customHeight="1" thickBot="1">
      <c r="A16" s="13"/>
      <c r="B16" s="62" t="s">
        <v>21</v>
      </c>
      <c r="C16" s="63" t="s">
        <v>20</v>
      </c>
      <c r="D16" s="64">
        <v>0</v>
      </c>
      <c r="E16" s="65">
        <f>Project_Start</f>
        <v>46080</v>
      </c>
      <c r="F16" s="65">
        <v>46095</v>
      </c>
      <c r="G16" s="17"/>
      <c r="H16" s="5">
        <f t="shared" ca="1" si="2"/>
        <v>16</v>
      </c>
      <c r="I16" s="51"/>
      <c r="J16" s="51"/>
      <c r="K16" s="51"/>
      <c r="L16" s="51"/>
      <c r="M16" s="51"/>
      <c r="N16" s="51"/>
      <c r="O16" s="51"/>
      <c r="P16" s="51"/>
      <c r="Q16" s="51"/>
      <c r="R16" s="51"/>
      <c r="S16" s="51"/>
      <c r="T16" s="51"/>
      <c r="U16" s="56"/>
      <c r="V16" s="56"/>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row>
    <row r="17" spans="1:64" s="46" customFormat="1" ht="30" customHeight="1" thickBot="1">
      <c r="A17" s="13"/>
      <c r="B17" s="62" t="s">
        <v>22</v>
      </c>
      <c r="C17" s="63" t="s">
        <v>20</v>
      </c>
      <c r="D17" s="64">
        <v>0</v>
      </c>
      <c r="E17" s="65">
        <f>Project_Start</f>
        <v>46080</v>
      </c>
      <c r="F17" s="65">
        <v>46095</v>
      </c>
      <c r="G17" s="17"/>
      <c r="H17" s="5">
        <f t="shared" ca="1" si="2"/>
        <v>16</v>
      </c>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row>
    <row r="18" spans="1:64" s="46" customFormat="1" ht="30" customHeight="1" thickBot="1">
      <c r="A18" s="13"/>
      <c r="B18" s="62" t="s">
        <v>23</v>
      </c>
      <c r="C18" s="63" t="s">
        <v>20</v>
      </c>
      <c r="D18" s="64">
        <v>0</v>
      </c>
      <c r="E18" s="65">
        <f>Project_Start</f>
        <v>46080</v>
      </c>
      <c r="F18" s="65">
        <v>46095</v>
      </c>
      <c r="G18" s="17"/>
      <c r="H18" s="5">
        <f t="shared" ca="1" si="2"/>
        <v>16</v>
      </c>
      <c r="I18" s="51"/>
      <c r="J18" s="51"/>
      <c r="K18" s="51"/>
      <c r="L18" s="51"/>
      <c r="M18" s="51"/>
      <c r="N18" s="51"/>
      <c r="O18" s="51"/>
      <c r="P18" s="51"/>
      <c r="Q18" s="51"/>
      <c r="R18" s="51"/>
      <c r="S18" s="51"/>
      <c r="T18" s="51"/>
      <c r="U18" s="51"/>
      <c r="V18" s="51"/>
      <c r="W18" s="51"/>
      <c r="X18" s="51"/>
      <c r="Y18" s="56"/>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row>
    <row r="19" spans="1:64" s="46" customFormat="1" ht="30" customHeight="1" thickBot="1">
      <c r="A19" s="13"/>
      <c r="B19" s="62" t="s">
        <v>24</v>
      </c>
      <c r="C19" s="63" t="s">
        <v>20</v>
      </c>
      <c r="D19" s="64">
        <v>0</v>
      </c>
      <c r="E19" s="65">
        <f>Project_Start</f>
        <v>46080</v>
      </c>
      <c r="F19" s="65">
        <v>46095</v>
      </c>
      <c r="G19" s="17"/>
      <c r="H19" s="5">
        <f t="shared" ca="1" si="2"/>
        <v>16</v>
      </c>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row>
    <row r="20" spans="1:64" s="46" customFormat="1" ht="30" customHeight="1" thickBot="1">
      <c r="A20" s="13"/>
      <c r="B20" s="66" t="s">
        <v>25</v>
      </c>
      <c r="C20" s="67"/>
      <c r="D20" s="68"/>
      <c r="E20" s="69"/>
      <c r="F20" s="70"/>
      <c r="G20" s="17"/>
      <c r="H20" s="5" t="str">
        <f t="shared" ca="1" si="2"/>
        <v/>
      </c>
      <c r="I20" s="71"/>
      <c r="J20" s="71"/>
      <c r="K20" s="71"/>
      <c r="L20" s="71"/>
      <c r="M20" s="71"/>
      <c r="N20" s="71"/>
      <c r="O20" s="71"/>
      <c r="P20" s="71"/>
      <c r="Q20" s="71"/>
      <c r="R20" s="71"/>
      <c r="S20" s="71"/>
      <c r="T20" s="71"/>
      <c r="U20" s="71"/>
      <c r="V20" s="71"/>
      <c r="W20" s="71"/>
      <c r="X20" s="71"/>
      <c r="Y20" s="71"/>
      <c r="Z20" s="71"/>
      <c r="AA20" s="71"/>
      <c r="AB20" s="71"/>
      <c r="AC20" s="71"/>
      <c r="AD20" s="71"/>
      <c r="AE20" s="71"/>
      <c r="AF20" s="71"/>
      <c r="AG20" s="71"/>
      <c r="AH20" s="71"/>
      <c r="AI20" s="71"/>
      <c r="AJ20" s="71"/>
      <c r="AK20" s="71"/>
      <c r="AL20" s="71"/>
      <c r="AM20" s="71"/>
      <c r="AN20" s="71"/>
      <c r="AO20" s="71"/>
      <c r="AP20" s="71"/>
      <c r="AQ20" s="71"/>
      <c r="AR20" s="71"/>
      <c r="AS20" s="71"/>
      <c r="AT20" s="71"/>
      <c r="AU20" s="71"/>
      <c r="AV20" s="71"/>
      <c r="AW20" s="71"/>
      <c r="AX20" s="71"/>
      <c r="AY20" s="71"/>
      <c r="AZ20" s="71"/>
      <c r="BA20" s="71"/>
      <c r="BB20" s="71"/>
      <c r="BC20" s="71"/>
      <c r="BD20" s="71"/>
      <c r="BE20" s="71"/>
      <c r="BF20" s="71"/>
      <c r="BG20" s="71"/>
      <c r="BH20" s="71"/>
      <c r="BI20" s="71"/>
      <c r="BJ20" s="71"/>
      <c r="BK20" s="71"/>
      <c r="BL20" s="71"/>
    </row>
    <row r="21" spans="1:64" s="46" customFormat="1" ht="30" customHeight="1" thickBot="1">
      <c r="A21" s="13"/>
      <c r="B21" s="72" t="s">
        <v>26</v>
      </c>
      <c r="C21" s="73" t="s">
        <v>12</v>
      </c>
      <c r="D21" s="74">
        <v>0</v>
      </c>
      <c r="E21" s="75">
        <f>Project_Start</f>
        <v>46080</v>
      </c>
      <c r="F21" s="75">
        <v>46102</v>
      </c>
      <c r="G21" s="17"/>
      <c r="H21" s="5">
        <f t="shared" ca="1" si="2"/>
        <v>23</v>
      </c>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row>
    <row r="22" spans="1:64" s="46" customFormat="1" ht="30" customHeight="1" thickBot="1">
      <c r="A22" s="13"/>
      <c r="B22" s="72" t="s">
        <v>27</v>
      </c>
      <c r="C22" s="73" t="s">
        <v>14</v>
      </c>
      <c r="D22" s="74">
        <v>0</v>
      </c>
      <c r="E22" s="75">
        <f>Project_Start</f>
        <v>46080</v>
      </c>
      <c r="F22" s="75">
        <v>46102</v>
      </c>
      <c r="G22" s="17"/>
      <c r="H22" s="5">
        <f t="shared" ca="1" si="2"/>
        <v>23</v>
      </c>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row>
    <row r="23" spans="1:64" s="46" customFormat="1" ht="30" customHeight="1" thickBot="1">
      <c r="A23" s="13"/>
      <c r="B23" s="72" t="s">
        <v>28</v>
      </c>
      <c r="C23" s="73" t="s">
        <v>16</v>
      </c>
      <c r="D23" s="74">
        <v>0</v>
      </c>
      <c r="E23" s="75">
        <f>Project_Start</f>
        <v>46080</v>
      </c>
      <c r="F23" s="75">
        <v>46102</v>
      </c>
      <c r="G23" s="17"/>
      <c r="H23" s="5">
        <f t="shared" ca="1" si="2"/>
        <v>23</v>
      </c>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row>
    <row r="24" spans="1:64" s="46" customFormat="1" ht="30" customHeight="1" thickBot="1">
      <c r="A24" s="13"/>
      <c r="B24" s="72" t="s">
        <v>29</v>
      </c>
      <c r="C24" s="73" t="s">
        <v>20</v>
      </c>
      <c r="D24" s="74">
        <v>0</v>
      </c>
      <c r="E24" s="75">
        <v>46080</v>
      </c>
      <c r="F24" s="75">
        <v>46102</v>
      </c>
      <c r="G24" s="17"/>
      <c r="H24" s="5">
        <f t="shared" ca="1" si="2"/>
        <v>23</v>
      </c>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1"/>
      <c r="AY24" s="51"/>
      <c r="AZ24" s="51"/>
      <c r="BA24" s="51"/>
      <c r="BB24" s="51"/>
      <c r="BC24" s="51"/>
      <c r="BD24" s="51"/>
      <c r="BE24" s="51"/>
      <c r="BF24" s="51"/>
      <c r="BG24" s="51"/>
      <c r="BH24" s="51"/>
      <c r="BI24" s="51"/>
      <c r="BJ24" s="51"/>
      <c r="BK24" s="51"/>
      <c r="BL24" s="51"/>
    </row>
    <row r="25" spans="1:64" s="46" customFormat="1" ht="30" customHeight="1" thickBot="1">
      <c r="A25" s="13"/>
      <c r="B25" s="72" t="s">
        <v>30</v>
      </c>
      <c r="C25" s="73" t="s">
        <v>16</v>
      </c>
      <c r="D25" s="74"/>
      <c r="E25" s="75"/>
      <c r="F25" s="75"/>
      <c r="G25" s="17"/>
      <c r="H25" s="5" t="str">
        <f t="shared" ca="1" si="2"/>
        <v/>
      </c>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c r="AY25" s="51"/>
      <c r="AZ25" s="51"/>
      <c r="BA25" s="51"/>
      <c r="BB25" s="51"/>
      <c r="BC25" s="51"/>
      <c r="BD25" s="51"/>
      <c r="BE25" s="51"/>
      <c r="BF25" s="51"/>
      <c r="BG25" s="51"/>
      <c r="BH25" s="51"/>
      <c r="BI25" s="51"/>
      <c r="BJ25" s="51"/>
      <c r="BK25" s="51"/>
      <c r="BL25" s="51"/>
    </row>
    <row r="26" spans="1:64" s="46" customFormat="1" ht="30" customHeight="1" thickBot="1">
      <c r="A26" s="13"/>
      <c r="B26" s="76" t="s">
        <v>31</v>
      </c>
      <c r="C26" s="77"/>
      <c r="D26" s="78"/>
      <c r="E26" s="79"/>
      <c r="F26" s="80"/>
      <c r="G26" s="17"/>
      <c r="H26" s="5" t="str">
        <f t="shared" ca="1" si="2"/>
        <v/>
      </c>
      <c r="I26" s="81"/>
      <c r="J26" s="81"/>
      <c r="K26" s="81"/>
      <c r="L26" s="81"/>
      <c r="M26" s="81"/>
      <c r="N26" s="81"/>
      <c r="O26" s="81"/>
      <c r="P26" s="81"/>
      <c r="Q26" s="81"/>
      <c r="R26" s="81"/>
      <c r="S26" s="81"/>
      <c r="T26" s="81"/>
      <c r="U26" s="81"/>
      <c r="V26" s="81"/>
      <c r="W26" s="81"/>
      <c r="X26" s="81"/>
      <c r="Y26" s="81"/>
      <c r="Z26" s="81"/>
      <c r="AA26" s="81"/>
      <c r="AB26" s="81"/>
      <c r="AC26" s="81"/>
      <c r="AD26" s="81"/>
      <c r="AE26" s="81"/>
      <c r="AF26" s="81"/>
      <c r="AG26" s="81"/>
      <c r="AH26" s="81"/>
      <c r="AI26" s="81"/>
      <c r="AJ26" s="81"/>
      <c r="AK26" s="81"/>
      <c r="AL26" s="81"/>
      <c r="AM26" s="81"/>
      <c r="AN26" s="81"/>
      <c r="AO26" s="81"/>
      <c r="AP26" s="81"/>
      <c r="AQ26" s="81"/>
      <c r="AR26" s="81"/>
      <c r="AS26" s="81"/>
      <c r="AT26" s="81"/>
      <c r="AU26" s="81"/>
      <c r="AV26" s="81"/>
      <c r="AW26" s="81"/>
      <c r="AX26" s="81"/>
      <c r="AY26" s="81"/>
      <c r="AZ26" s="81"/>
      <c r="BA26" s="81"/>
      <c r="BB26" s="81"/>
      <c r="BC26" s="81"/>
      <c r="BD26" s="81"/>
      <c r="BE26" s="81"/>
      <c r="BF26" s="81"/>
      <c r="BG26" s="81"/>
      <c r="BH26" s="81"/>
      <c r="BI26" s="81"/>
      <c r="BJ26" s="81"/>
      <c r="BK26" s="81"/>
      <c r="BL26" s="81"/>
    </row>
    <row r="27" spans="1:64" s="46" customFormat="1" ht="30" customHeight="1" thickBot="1">
      <c r="A27" s="13"/>
      <c r="B27" s="82" t="s">
        <v>32</v>
      </c>
      <c r="C27" s="83" t="s">
        <v>16</v>
      </c>
      <c r="D27" s="84">
        <v>0</v>
      </c>
      <c r="E27" s="85">
        <f>Project_Start</f>
        <v>46080</v>
      </c>
      <c r="F27" s="85">
        <v>46109</v>
      </c>
      <c r="G27" s="17"/>
      <c r="H27" s="5">
        <f t="shared" ca="1" si="2"/>
        <v>30</v>
      </c>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row>
    <row r="28" spans="1:64" s="46" customFormat="1" ht="30" customHeight="1" thickBot="1">
      <c r="A28" s="13"/>
      <c r="B28" s="82" t="s">
        <v>33</v>
      </c>
      <c r="C28" s="83" t="s">
        <v>14</v>
      </c>
      <c r="D28" s="84">
        <v>0</v>
      </c>
      <c r="E28" s="85">
        <f>Project_Start</f>
        <v>46080</v>
      </c>
      <c r="F28" s="85">
        <v>46109</v>
      </c>
      <c r="G28" s="17"/>
      <c r="H28" s="5">
        <f t="shared" ca="1" si="2"/>
        <v>30</v>
      </c>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row>
    <row r="29" spans="1:64" s="46" customFormat="1" ht="30" customHeight="1" thickBot="1">
      <c r="A29" s="13"/>
      <c r="B29" s="82" t="s">
        <v>34</v>
      </c>
      <c r="C29" s="83" t="s">
        <v>12</v>
      </c>
      <c r="D29" s="84">
        <v>0</v>
      </c>
      <c r="E29" s="85">
        <f>Project_Start</f>
        <v>46080</v>
      </c>
      <c r="F29" s="85">
        <v>46109</v>
      </c>
      <c r="G29" s="17"/>
      <c r="H29" s="5">
        <f t="shared" ca="1" si="2"/>
        <v>30</v>
      </c>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row>
    <row r="30" spans="1:64" s="46" customFormat="1" ht="30" customHeight="1" thickBot="1">
      <c r="A30" s="13"/>
      <c r="B30" s="82" t="s">
        <v>35</v>
      </c>
      <c r="C30" s="83" t="s">
        <v>14</v>
      </c>
      <c r="D30" s="84">
        <v>0</v>
      </c>
      <c r="E30" s="85">
        <f>Project_Start</f>
        <v>46080</v>
      </c>
      <c r="F30" s="85">
        <v>46109</v>
      </c>
      <c r="G30" s="17"/>
      <c r="H30" s="5">
        <f t="shared" ca="1" si="2"/>
        <v>30</v>
      </c>
      <c r="I30" s="51"/>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51"/>
      <c r="BB30" s="51"/>
      <c r="BC30" s="51"/>
      <c r="BD30" s="51"/>
      <c r="BE30" s="51"/>
      <c r="BF30" s="51"/>
      <c r="BG30" s="51"/>
      <c r="BH30" s="51"/>
      <c r="BI30" s="51"/>
      <c r="BJ30" s="51"/>
      <c r="BK30" s="51"/>
      <c r="BL30" s="51"/>
    </row>
    <row r="31" spans="1:64" s="46" customFormat="1" ht="30" customHeight="1" thickBot="1">
      <c r="A31" s="13"/>
      <c r="B31" s="82" t="s">
        <v>36</v>
      </c>
      <c r="C31" s="83" t="s">
        <v>37</v>
      </c>
      <c r="D31" s="84">
        <v>0</v>
      </c>
      <c r="E31" s="85">
        <f>Project_Start</f>
        <v>46080</v>
      </c>
      <c r="F31" s="85">
        <v>46109</v>
      </c>
      <c r="G31" s="17"/>
      <c r="H31" s="5">
        <f t="shared" ca="1" si="2"/>
        <v>30</v>
      </c>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row>
    <row r="32" spans="1:64" s="46" customFormat="1" ht="30" customHeight="1" thickBot="1">
      <c r="A32" s="13"/>
      <c r="B32" s="86"/>
      <c r="C32" s="87"/>
      <c r="D32" s="88"/>
      <c r="E32" s="89"/>
      <c r="F32" s="89"/>
      <c r="G32" s="17"/>
      <c r="H32" s="5" t="str">
        <f t="shared" ca="1" si="2"/>
        <v/>
      </c>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45"/>
      <c r="BD32" s="45"/>
      <c r="BE32" s="45"/>
      <c r="BF32" s="45"/>
      <c r="BG32" s="45"/>
      <c r="BH32" s="45"/>
      <c r="BI32" s="45"/>
      <c r="BJ32" s="45"/>
      <c r="BK32" s="45"/>
      <c r="BL32" s="45"/>
    </row>
    <row r="33" spans="1:64" s="46" customFormat="1" ht="30" customHeight="1" thickBot="1">
      <c r="A33" s="14"/>
      <c r="B33" s="90" t="s">
        <v>38</v>
      </c>
      <c r="C33" s="91"/>
      <c r="D33" s="92"/>
      <c r="E33" s="93"/>
      <c r="F33" s="94"/>
      <c r="G33" s="17"/>
      <c r="H33" s="6" t="str">
        <f t="shared" ca="1" si="2"/>
        <v/>
      </c>
      <c r="I33" s="95"/>
      <c r="J33" s="95"/>
      <c r="K33" s="95"/>
      <c r="L33" s="95"/>
      <c r="M33" s="95"/>
      <c r="N33" s="95"/>
      <c r="O33" s="95"/>
      <c r="P33" s="95"/>
      <c r="Q33" s="95"/>
      <c r="R33" s="95"/>
      <c r="S33" s="95"/>
      <c r="T33" s="95"/>
      <c r="U33" s="95"/>
      <c r="V33" s="95"/>
      <c r="W33" s="95"/>
      <c r="X33" s="95"/>
      <c r="Y33" s="95"/>
      <c r="Z33" s="95"/>
      <c r="AA33" s="95"/>
      <c r="AB33" s="95"/>
      <c r="AC33" s="95"/>
      <c r="AD33" s="95"/>
      <c r="AE33" s="95"/>
      <c r="AF33" s="95"/>
      <c r="AG33" s="95"/>
      <c r="AH33" s="95"/>
      <c r="AI33" s="95"/>
      <c r="AJ33" s="95"/>
      <c r="AK33" s="95"/>
      <c r="AL33" s="95"/>
      <c r="AM33" s="95"/>
      <c r="AN33" s="95"/>
      <c r="AO33" s="95"/>
      <c r="AP33" s="95"/>
      <c r="AQ33" s="95"/>
      <c r="AR33" s="95"/>
      <c r="AS33" s="95"/>
      <c r="AT33" s="95"/>
      <c r="AU33" s="95"/>
      <c r="AV33" s="95"/>
      <c r="AW33" s="95"/>
      <c r="AX33" s="95"/>
      <c r="AY33" s="95"/>
      <c r="AZ33" s="95"/>
      <c r="BA33" s="95"/>
      <c r="BB33" s="95"/>
      <c r="BC33" s="95"/>
      <c r="BD33" s="95"/>
      <c r="BE33" s="95"/>
      <c r="BF33" s="95"/>
      <c r="BG33" s="95"/>
      <c r="BH33" s="95"/>
      <c r="BI33" s="95"/>
      <c r="BJ33" s="95"/>
      <c r="BK33" s="95"/>
      <c r="BL33" s="95"/>
    </row>
    <row r="34" spans="1:64" ht="30" customHeight="1">
      <c r="G34" s="3"/>
    </row>
    <row r="35" spans="1:64" ht="30" customHeight="1">
      <c r="C35" s="16"/>
      <c r="F35" s="15"/>
    </row>
    <row r="36" spans="1:64" ht="30" customHeight="1">
      <c r="C36" s="4"/>
    </row>
  </sheetData>
  <mergeCells count="18">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s>
  <conditionalFormatting sqref="D7:D33">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31">
    <cfRule type="expression" dxfId="8" priority="1">
      <formula>AND(TODAY()&gt;=I$5, TODAY()&lt;J$5)</formula>
    </cfRule>
  </conditionalFormatting>
  <conditionalFormatting sqref="I9:BL13">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5:BL19">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21:BL25">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7:BL31">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0" xr:uid="{956902D1-D3B5-416D-BB69-9362D193BC0A}"/>
    <dataValidation allowBlank="1" showInputMessage="1" showErrorMessage="1" prompt="Phase 4's sample block starts in cell B26." sqref="A2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3"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15"/>
  <cols>
    <col min="1" max="1" width="87" style="7" customWidth="1"/>
    <col min="2" max="16384" width="9" style="1"/>
  </cols>
  <sheetData>
    <row r="1" spans="1:2" ht="46.5" customHeight="1"/>
    <row r="2" spans="1:2" s="9" customFormat="1" ht="15.6">
      <c r="A2" s="99" t="s">
        <v>39</v>
      </c>
      <c r="B2" s="8"/>
    </row>
    <row r="3" spans="1:2" s="11" customFormat="1" ht="27" customHeight="1">
      <c r="A3" s="100"/>
      <c r="B3" s="12"/>
    </row>
    <row r="4" spans="1:2" s="10" customFormat="1" ht="30">
      <c r="A4" s="101" t="s">
        <v>40</v>
      </c>
    </row>
    <row r="5" spans="1:2" ht="74.25" customHeight="1">
      <c r="A5" s="102" t="s">
        <v>41</v>
      </c>
    </row>
    <row r="6" spans="1:2" ht="26.25" customHeight="1">
      <c r="A6" s="101" t="s">
        <v>42</v>
      </c>
    </row>
    <row r="7" spans="1:2" s="7" customFormat="1" ht="205.15" customHeight="1">
      <c r="A7" s="103" t="s">
        <v>43</v>
      </c>
    </row>
    <row r="8" spans="1:2" s="10" customFormat="1" ht="30">
      <c r="A8" s="101" t="s">
        <v>44</v>
      </c>
    </row>
    <row r="9" spans="1:2" ht="41.45">
      <c r="A9" s="102" t="s">
        <v>45</v>
      </c>
    </row>
    <row r="10" spans="1:2" s="7" customFormat="1" ht="28.15" customHeight="1">
      <c r="A10" s="104" t="s">
        <v>46</v>
      </c>
    </row>
    <row r="11" spans="1:2" s="10" customFormat="1" ht="30">
      <c r="A11" s="101" t="s">
        <v>47</v>
      </c>
    </row>
    <row r="12" spans="1:2" ht="27.6">
      <c r="A12" s="102" t="s">
        <v>48</v>
      </c>
    </row>
    <row r="13" spans="1:2" s="7" customFormat="1" ht="28.15" customHeight="1">
      <c r="A13" s="104" t="s">
        <v>49</v>
      </c>
    </row>
    <row r="14" spans="1:2" s="10" customFormat="1" ht="30">
      <c r="A14" s="101" t="s">
        <v>50</v>
      </c>
    </row>
    <row r="15" spans="1:2" ht="75" customHeight="1">
      <c r="A15" s="102" t="s">
        <v>51</v>
      </c>
    </row>
    <row r="16" spans="1:2" ht="69">
      <c r="A16" s="102" t="s">
        <v>52</v>
      </c>
    </row>
    <row r="17" spans="1:1">
      <c r="A17" s="105"/>
    </row>
    <row r="18" spans="1:1">
      <c r="A18" s="105"/>
    </row>
    <row r="19" spans="1:1">
      <c r="A19" s="105"/>
    </row>
    <row r="20" spans="1:1">
      <c r="A20" s="105"/>
    </row>
    <row r="21" spans="1:1">
      <c r="A21" s="105"/>
    </row>
    <row r="22" spans="1:1">
      <c r="A22" s="105"/>
    </row>
    <row r="23" spans="1:1">
      <c r="A23" s="105"/>
    </row>
    <row r="24" spans="1:1">
      <c r="A24" s="105"/>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e9421992-1748-4946-9df7-7dcc5eeedee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13BDF199B2F7A44A7B3C70F4EA79324" ma:contentTypeVersion="5" ma:contentTypeDescription="Create a new document." ma:contentTypeScope="" ma:versionID="919a552b1dec33415c674a8325e0840b">
  <xsd:schema xmlns:xsd="http://www.w3.org/2001/XMLSchema" xmlns:xs="http://www.w3.org/2001/XMLSchema" xmlns:p="http://schemas.microsoft.com/office/2006/metadata/properties" xmlns:ns3="e9421992-1748-4946-9df7-7dcc5eeedeef" targetNamespace="http://schemas.microsoft.com/office/2006/metadata/properties" ma:root="true" ma:fieldsID="b3bb999635bb4fc474e8842327d78ceb" ns3:_="">
    <xsd:import namespace="e9421992-1748-4946-9df7-7dcc5eeedee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421992-1748-4946-9df7-7dcc5eeedee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7245281-08F3-4104-84BD-39F3D8CFB195}"/>
</file>

<file path=customXml/itemProps2.xml><?xml version="1.0" encoding="utf-8"?>
<ds:datastoreItem xmlns:ds="http://schemas.openxmlformats.org/officeDocument/2006/customXml" ds:itemID="{A82239A0-E68C-493F-BEE6-C77FEA397FD6}"/>
</file>

<file path=customXml/itemProps3.xml><?xml version="1.0" encoding="utf-8"?>
<ds:datastoreItem xmlns:ds="http://schemas.openxmlformats.org/officeDocument/2006/customXml" ds:itemID="{7523E65D-F250-4E6A-9184-5CEA6CEC9A78}"/>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Emma Robbins</dc:creator>
  <cp:keywords/>
  <dc:description/>
  <cp:lastModifiedBy>Emma Robbins</cp:lastModifiedBy>
  <cp:revision/>
  <dcterms:created xsi:type="dcterms:W3CDTF">2022-03-11T22:41:12Z</dcterms:created>
  <dcterms:modified xsi:type="dcterms:W3CDTF">2026-03-30T00:35:07Z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0x010100E13BDF199B2F7A44A7B3C70F4EA79324</vt:lpwstr>
  </property>
  <property fmtid="{D5CDD505-2E9C-101B-9397-08002B2CF9AE}" pid="3" name="MediaServiceImageTags">
    <vt:lpwstr/>
  </property>
</Properties>
</file>